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Graficos" sheetId="2" r:id="rId5"/>
  </sheets>
  <definedNames/>
  <calcPr/>
</workbook>
</file>

<file path=xl/sharedStrings.xml><?xml version="1.0" encoding="utf-8"?>
<sst xmlns="http://schemas.openxmlformats.org/spreadsheetml/2006/main" count="109" uniqueCount="57">
  <si>
    <t>Partido</t>
  </si>
  <si>
    <t>Equipo</t>
  </si>
  <si>
    <t>Rival</t>
  </si>
  <si>
    <t xml:space="preserve">Puntos </t>
  </si>
  <si>
    <t>TC 2P A</t>
  </si>
  <si>
    <t>TC 2P I</t>
  </si>
  <si>
    <t>TC 2P %</t>
  </si>
  <si>
    <t>TC 3P A</t>
  </si>
  <si>
    <t>TC 3P I</t>
  </si>
  <si>
    <t>TC 3P %</t>
  </si>
  <si>
    <t>TL A</t>
  </si>
  <si>
    <t>TL I</t>
  </si>
  <si>
    <t>TL %</t>
  </si>
  <si>
    <t>Rebotes DEF</t>
  </si>
  <si>
    <t>Rebotes OF</t>
  </si>
  <si>
    <t>Total rebotes</t>
  </si>
  <si>
    <t>Asistencias</t>
  </si>
  <si>
    <t>Recuperaciones</t>
  </si>
  <si>
    <t>Perdidas</t>
  </si>
  <si>
    <t>Tapas cometidas</t>
  </si>
  <si>
    <t>Tapas recibidas</t>
  </si>
  <si>
    <t>Faltas cometidas</t>
  </si>
  <si>
    <t>Faltas recibidas</t>
  </si>
  <si>
    <t>Villa Mitre</t>
  </si>
  <si>
    <t>Estrella de Boedo</t>
  </si>
  <si>
    <t>33</t>
  </si>
  <si>
    <t>8</t>
  </si>
  <si>
    <t>10</t>
  </si>
  <si>
    <t>25</t>
  </si>
  <si>
    <t>1</t>
  </si>
  <si>
    <t>0</t>
  </si>
  <si>
    <t>17</t>
  </si>
  <si>
    <t>12</t>
  </si>
  <si>
    <t>18</t>
  </si>
  <si>
    <t>9</t>
  </si>
  <si>
    <t>6</t>
  </si>
  <si>
    <t>19</t>
  </si>
  <si>
    <t>16</t>
  </si>
  <si>
    <t>San Fernando</t>
  </si>
  <si>
    <t>20</t>
  </si>
  <si>
    <t>4</t>
  </si>
  <si>
    <t>2</t>
  </si>
  <si>
    <t>21</t>
  </si>
  <si>
    <t>7</t>
  </si>
  <si>
    <t>11</t>
  </si>
  <si>
    <t>Crovara</t>
  </si>
  <si>
    <t>40</t>
  </si>
  <si>
    <t>13</t>
  </si>
  <si>
    <t>15</t>
  </si>
  <si>
    <t>3</t>
  </si>
  <si>
    <t>14</t>
  </si>
  <si>
    <t>29</t>
  </si>
  <si>
    <t>eFG%</t>
  </si>
  <si>
    <t>TOV%</t>
  </si>
  <si>
    <t>ORB%</t>
  </si>
  <si>
    <t>FTR</t>
  </si>
  <si>
    <t>Villa Mitre mantiene un eFG% sólido en los tres partidos, con ventaja clara en rebotes ofensivos. Las pérdidas (TOV%) son consistentes y el FTR rival elevado en algunos encuentros sugiere revisar la defensa sin faltas.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</si>
</sst>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2" numFmtId="1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Four Factors – Partido 3: Villa Mitre vs Crovara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eFG%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Datos!$D$18:$D$19</c:f>
              <c:numCache/>
            </c:numRef>
          </c:val>
        </c:ser>
        <c:ser>
          <c:idx val="1"/>
          <c:order val="1"/>
          <c:tx>
            <c:v>TOV%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Datos!$E$18:$E$19</c:f>
              <c:numCache/>
            </c:numRef>
          </c:val>
        </c:ser>
        <c:ser>
          <c:idx val="2"/>
          <c:order val="2"/>
          <c:tx>
            <c:v>ORB%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Datos!$F$18:$F$19</c:f>
              <c:numCache/>
            </c:numRef>
          </c:val>
        </c:ser>
        <c:ser>
          <c:idx val="3"/>
          <c:order val="3"/>
          <c:tx>
            <c:v>FTR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Datos!$G$18:$G$19</c:f>
              <c:numCache/>
            </c:numRef>
          </c:val>
        </c:ser>
        <c:axId val="1627791280"/>
        <c:axId val="1891093849"/>
      </c:barChart>
      <c:catAx>
        <c:axId val="162779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Villa Mitre                                                    Crovara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093849"/>
      </c:catAx>
      <c:valAx>
        <c:axId val="1891093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791280"/>
      </c:valAx>
    </c:plotArea>
    <c:legend>
      <c:legendPos val="r"/>
      <c:layout>
        <c:manualLayout>
          <c:xMode val="edge"/>
          <c:yMode val="edge"/>
          <c:x val="0.4200000000000001"/>
          <c:y val="0.1345462713387241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Four Factors – Partido 1: Villa Mitre vs Estrella de Boedo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Datos!$D$13</c:f>
            </c:strRef>
          </c:tx>
          <c:spPr>
            <a:solidFill>
              <a:schemeClr val="accent1"/>
            </a:solidFill>
            <a:ln cmpd="sng">
              <a:solidFill>
                <a:srgbClr val="FFFFFF">
                  <a:alpha val="100000"/>
                </a:srgbClr>
              </a:solidFill>
              <a:prstDash val="solid"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Datos!$D$14:$D$15</c:f>
              <c:numCache/>
            </c:numRef>
          </c:val>
        </c:ser>
        <c:ser>
          <c:idx val="1"/>
          <c:order val="1"/>
          <c:tx>
            <c:strRef>
              <c:f>Datos!$E$13</c:f>
            </c:strRef>
          </c:tx>
          <c:spPr>
            <a:solidFill>
              <a:schemeClr val="accent2"/>
            </a:solidFill>
            <a:ln cmpd="sng">
              <a:solidFill>
                <a:srgbClr val="FFFFFF">
                  <a:alpha val="100000"/>
                </a:srgbClr>
              </a:solidFill>
              <a:prstDash val="solid"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Datos!$E$14:$E$15</c:f>
              <c:numCache/>
            </c:numRef>
          </c:val>
        </c:ser>
        <c:ser>
          <c:idx val="2"/>
          <c:order val="2"/>
          <c:tx>
            <c:strRef>
              <c:f>Datos!$F$13</c:f>
            </c:strRef>
          </c:tx>
          <c:spPr>
            <a:solidFill>
              <a:schemeClr val="accent3"/>
            </a:solidFill>
            <a:ln cmpd="sng">
              <a:solidFill>
                <a:srgbClr val="FFFFFF">
                  <a:alpha val="100000"/>
                </a:srgbClr>
              </a:solidFill>
              <a:prstDash val="solid"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Datos!$F$14:$F$15</c:f>
              <c:numCache/>
            </c:numRef>
          </c:val>
        </c:ser>
        <c:ser>
          <c:idx val="3"/>
          <c:order val="3"/>
          <c:tx>
            <c:strRef>
              <c:f>Datos!$G$13</c:f>
            </c:strRef>
          </c:tx>
          <c:spPr>
            <a:solidFill>
              <a:schemeClr val="accent4"/>
            </a:solidFill>
            <a:ln cmpd="sng">
              <a:solidFill>
                <a:srgbClr val="FFFFFF">
                  <a:alpha val="100000"/>
                </a:srgbClr>
              </a:solidFill>
              <a:prstDash val="solid"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Datos!$G$14:$G$15</c:f>
              <c:numCache/>
            </c:numRef>
          </c:val>
        </c:ser>
        <c:axId val="19103517"/>
        <c:axId val="1825221985"/>
      </c:barChart>
      <c:catAx>
        <c:axId val="19103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Villa MItre                                               Estrella de Boedo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221985"/>
      </c:catAx>
      <c:valAx>
        <c:axId val="1825221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3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Four Factors – Partido 2: Villa Mitre vs San Fernando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eFG%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Datos!$D$16:$D$17</c:f>
              <c:numCache/>
            </c:numRef>
          </c:val>
        </c:ser>
        <c:ser>
          <c:idx val="1"/>
          <c:order val="1"/>
          <c:tx>
            <c:v>TOV%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Datos!$E$16:$E$17</c:f>
              <c:numCache/>
            </c:numRef>
          </c:val>
        </c:ser>
        <c:ser>
          <c:idx val="2"/>
          <c:order val="2"/>
          <c:tx>
            <c:v>ORB%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Datos!$F$16:$F$17</c:f>
              <c:numCache/>
            </c:numRef>
          </c:val>
        </c:ser>
        <c:ser>
          <c:idx val="3"/>
          <c:order val="3"/>
          <c:tx>
            <c:v>FTR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Datos!$G$16:$G$17</c:f>
              <c:numCache/>
            </c:numRef>
          </c:val>
        </c:ser>
        <c:axId val="1766758570"/>
        <c:axId val="798562377"/>
      </c:barChart>
      <c:catAx>
        <c:axId val="1766758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Villa MItre                                               San Fernando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562377"/>
      </c:catAx>
      <c:valAx>
        <c:axId val="798562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758570"/>
      </c:valAx>
    </c:plotArea>
    <c:legend>
      <c:legendPos val="r"/>
      <c:layout>
        <c:manualLayout>
          <c:xMode val="edge"/>
          <c:yMode val="edge"/>
          <c:x val="0.3416666666666668"/>
          <c:y val="0.13454627133872418"/>
        </c:manualLayout>
      </c:layout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22</xdr:row>
      <xdr:rowOff>123825</xdr:rowOff>
    </xdr:from>
    <xdr:ext cx="7696200" cy="4752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9525</xdr:rowOff>
    </xdr:from>
    <xdr:ext cx="7134225" cy="45148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400050</xdr:colOff>
      <xdr:row>0</xdr:row>
      <xdr:rowOff>9525</xdr:rowOff>
    </xdr:from>
    <xdr:ext cx="7248525" cy="45148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4.0"/>
    <col customWidth="1" min="17" max="17" width="13.5"/>
    <col customWidth="1" min="19" max="19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1.0</v>
      </c>
      <c r="B2" s="1" t="s">
        <v>23</v>
      </c>
      <c r="C2" s="1" t="s">
        <v>24</v>
      </c>
      <c r="D2" s="2">
        <v>63.0</v>
      </c>
      <c r="E2" s="3">
        <v>21.0</v>
      </c>
      <c r="F2" s="4">
        <v>36.0</v>
      </c>
      <c r="G2" s="5">
        <f t="shared" ref="G2:G7" si="1">(E2/F2)*100</f>
        <v>58.33333333</v>
      </c>
      <c r="H2" s="6">
        <v>5.0</v>
      </c>
      <c r="I2" s="1">
        <v>22.0</v>
      </c>
      <c r="J2" s="5">
        <f t="shared" ref="J2:J7" si="2">(H2/I2)*100</f>
        <v>22.72727273</v>
      </c>
      <c r="K2" s="7">
        <v>6.0</v>
      </c>
      <c r="L2" s="1">
        <v>10.0</v>
      </c>
      <c r="M2" s="5">
        <f t="shared" ref="M2:M7" si="3">(K2/L2)*100</f>
        <v>60</v>
      </c>
      <c r="N2" s="8" t="s">
        <v>25</v>
      </c>
      <c r="O2" s="8" t="s">
        <v>26</v>
      </c>
      <c r="P2" s="8">
        <f t="shared" ref="P2:P7" si="4">N2+O2</f>
        <v>41</v>
      </c>
      <c r="Q2" s="8" t="s">
        <v>27</v>
      </c>
      <c r="R2" s="8" t="s">
        <v>27</v>
      </c>
      <c r="S2" s="8" t="s">
        <v>28</v>
      </c>
      <c r="T2" s="8" t="s">
        <v>29</v>
      </c>
      <c r="U2" s="8" t="s">
        <v>30</v>
      </c>
      <c r="V2" s="8" t="s">
        <v>31</v>
      </c>
      <c r="W2" s="8" t="s">
        <v>32</v>
      </c>
    </row>
    <row r="3">
      <c r="A3" s="1">
        <v>1.0</v>
      </c>
      <c r="B3" s="1" t="s">
        <v>24</v>
      </c>
      <c r="C3" s="1" t="s">
        <v>23</v>
      </c>
      <c r="D3" s="2">
        <v>46.0</v>
      </c>
      <c r="E3" s="3">
        <v>12.0</v>
      </c>
      <c r="F3" s="4">
        <v>32.0</v>
      </c>
      <c r="G3" s="5">
        <f t="shared" si="1"/>
        <v>37.5</v>
      </c>
      <c r="H3" s="6">
        <v>4.0</v>
      </c>
      <c r="I3" s="1">
        <v>32.0</v>
      </c>
      <c r="J3" s="5">
        <f t="shared" si="2"/>
        <v>12.5</v>
      </c>
      <c r="K3" s="7">
        <v>10.0</v>
      </c>
      <c r="L3" s="1">
        <v>20.0</v>
      </c>
      <c r="M3" s="5">
        <f t="shared" si="3"/>
        <v>50</v>
      </c>
      <c r="N3" s="9" t="s">
        <v>33</v>
      </c>
      <c r="O3" s="9" t="s">
        <v>34</v>
      </c>
      <c r="P3" s="8">
        <f t="shared" si="4"/>
        <v>27</v>
      </c>
      <c r="Q3" s="9" t="s">
        <v>35</v>
      </c>
      <c r="R3" s="9" t="s">
        <v>31</v>
      </c>
      <c r="S3" s="9" t="s">
        <v>36</v>
      </c>
      <c r="T3" s="9" t="s">
        <v>30</v>
      </c>
      <c r="U3" s="9" t="s">
        <v>29</v>
      </c>
      <c r="V3" s="9" t="s">
        <v>32</v>
      </c>
      <c r="W3" s="9" t="s">
        <v>37</v>
      </c>
    </row>
    <row r="4">
      <c r="A4" s="1">
        <v>2.0</v>
      </c>
      <c r="B4" s="1" t="s">
        <v>23</v>
      </c>
      <c r="C4" s="1" t="s">
        <v>38</v>
      </c>
      <c r="D4" s="2">
        <v>62.0</v>
      </c>
      <c r="E4" s="3">
        <v>14.0</v>
      </c>
      <c r="F4" s="4">
        <v>35.0</v>
      </c>
      <c r="G4" s="5">
        <f t="shared" si="1"/>
        <v>40</v>
      </c>
      <c r="H4" s="6">
        <v>10.0</v>
      </c>
      <c r="I4" s="1">
        <v>25.0</v>
      </c>
      <c r="J4" s="5">
        <f t="shared" si="2"/>
        <v>40</v>
      </c>
      <c r="K4" s="7">
        <v>4.0</v>
      </c>
      <c r="L4" s="1">
        <v>15.0</v>
      </c>
      <c r="M4" s="5">
        <f t="shared" si="3"/>
        <v>26.66666667</v>
      </c>
      <c r="N4" s="9" t="s">
        <v>39</v>
      </c>
      <c r="O4" s="9" t="s">
        <v>32</v>
      </c>
      <c r="P4" s="8">
        <f t="shared" si="4"/>
        <v>32</v>
      </c>
      <c r="Q4" s="9" t="s">
        <v>40</v>
      </c>
      <c r="R4" s="9" t="s">
        <v>35</v>
      </c>
      <c r="S4" s="9" t="s">
        <v>36</v>
      </c>
      <c r="T4" s="9" t="s">
        <v>29</v>
      </c>
      <c r="U4" s="9" t="s">
        <v>41</v>
      </c>
      <c r="V4" s="9" t="s">
        <v>42</v>
      </c>
      <c r="W4" s="9" t="s">
        <v>37</v>
      </c>
    </row>
    <row r="5">
      <c r="A5" s="1">
        <v>2.0</v>
      </c>
      <c r="B5" s="1" t="s">
        <v>38</v>
      </c>
      <c r="C5" s="1" t="s">
        <v>23</v>
      </c>
      <c r="D5" s="2">
        <v>72.0</v>
      </c>
      <c r="E5" s="3">
        <v>24.0</v>
      </c>
      <c r="F5" s="4">
        <v>47.0</v>
      </c>
      <c r="G5" s="5">
        <f t="shared" si="1"/>
        <v>51.06382979</v>
      </c>
      <c r="H5" s="6">
        <v>1.0</v>
      </c>
      <c r="I5" s="1">
        <v>9.0</v>
      </c>
      <c r="J5" s="5">
        <f t="shared" si="2"/>
        <v>11.11111111</v>
      </c>
      <c r="K5" s="7">
        <v>21.0</v>
      </c>
      <c r="L5" s="1">
        <v>30.0</v>
      </c>
      <c r="M5" s="5">
        <f t="shared" si="3"/>
        <v>70</v>
      </c>
      <c r="N5" s="9" t="s">
        <v>39</v>
      </c>
      <c r="O5" s="9" t="s">
        <v>35</v>
      </c>
      <c r="P5" s="8">
        <f t="shared" si="4"/>
        <v>26</v>
      </c>
      <c r="Q5" s="9" t="s">
        <v>43</v>
      </c>
      <c r="R5" s="9" t="s">
        <v>32</v>
      </c>
      <c r="S5" s="9" t="s">
        <v>44</v>
      </c>
      <c r="T5" s="9" t="s">
        <v>41</v>
      </c>
      <c r="U5" s="9" t="s">
        <v>29</v>
      </c>
      <c r="V5" s="9" t="s">
        <v>37</v>
      </c>
      <c r="W5" s="9" t="s">
        <v>36</v>
      </c>
    </row>
    <row r="6">
      <c r="A6" s="1">
        <v>3.0</v>
      </c>
      <c r="B6" s="1" t="s">
        <v>23</v>
      </c>
      <c r="C6" s="1" t="s">
        <v>45</v>
      </c>
      <c r="D6" s="2">
        <v>67.0</v>
      </c>
      <c r="E6" s="3">
        <v>18.0</v>
      </c>
      <c r="F6" s="4">
        <v>44.0</v>
      </c>
      <c r="G6" s="5">
        <f t="shared" si="1"/>
        <v>40.90909091</v>
      </c>
      <c r="H6" s="6">
        <v>7.0</v>
      </c>
      <c r="I6" s="1">
        <v>26.0</v>
      </c>
      <c r="J6" s="5">
        <f t="shared" si="2"/>
        <v>26.92307692</v>
      </c>
      <c r="K6" s="7">
        <v>10.0</v>
      </c>
      <c r="L6" s="1">
        <v>14.0</v>
      </c>
      <c r="M6" s="5">
        <f t="shared" si="3"/>
        <v>71.42857143</v>
      </c>
      <c r="N6" s="9" t="s">
        <v>46</v>
      </c>
      <c r="O6" s="9" t="s">
        <v>47</v>
      </c>
      <c r="P6" s="8">
        <f t="shared" si="4"/>
        <v>53</v>
      </c>
      <c r="Q6" s="9" t="s">
        <v>44</v>
      </c>
      <c r="R6" s="9" t="s">
        <v>47</v>
      </c>
      <c r="S6" s="9" t="s">
        <v>48</v>
      </c>
      <c r="T6" s="9" t="s">
        <v>49</v>
      </c>
      <c r="U6" s="9" t="s">
        <v>40</v>
      </c>
      <c r="V6" s="9" t="s">
        <v>50</v>
      </c>
      <c r="W6" s="9" t="s">
        <v>31</v>
      </c>
    </row>
    <row r="7">
      <c r="A7" s="1">
        <v>3.0</v>
      </c>
      <c r="B7" s="1" t="s">
        <v>45</v>
      </c>
      <c r="C7" s="1" t="s">
        <v>23</v>
      </c>
      <c r="D7" s="2">
        <v>41.0</v>
      </c>
      <c r="E7" s="3">
        <v>16.0</v>
      </c>
      <c r="F7" s="4">
        <v>42.0</v>
      </c>
      <c r="G7" s="5">
        <f t="shared" si="1"/>
        <v>38.0952381</v>
      </c>
      <c r="H7" s="6">
        <v>2.0</v>
      </c>
      <c r="I7" s="1">
        <v>26.0</v>
      </c>
      <c r="J7" s="5">
        <f t="shared" si="2"/>
        <v>7.692307692</v>
      </c>
      <c r="K7" s="7">
        <v>3.0</v>
      </c>
      <c r="L7" s="1">
        <v>13.0</v>
      </c>
      <c r="M7" s="5">
        <f t="shared" si="3"/>
        <v>23.07692308</v>
      </c>
      <c r="N7" s="9" t="s">
        <v>51</v>
      </c>
      <c r="O7" s="9" t="s">
        <v>31</v>
      </c>
      <c r="P7" s="8">
        <f t="shared" si="4"/>
        <v>46</v>
      </c>
      <c r="Q7" s="9" t="s">
        <v>35</v>
      </c>
      <c r="R7" s="9" t="s">
        <v>34</v>
      </c>
      <c r="S7" s="9" t="s">
        <v>31</v>
      </c>
      <c r="T7" s="9" t="s">
        <v>40</v>
      </c>
      <c r="U7" s="9" t="s">
        <v>49</v>
      </c>
      <c r="V7" s="9" t="s">
        <v>31</v>
      </c>
      <c r="W7" s="9" t="s">
        <v>50</v>
      </c>
    </row>
    <row r="13">
      <c r="A13" s="1" t="s">
        <v>0</v>
      </c>
      <c r="B13" s="1" t="s">
        <v>1</v>
      </c>
      <c r="C13" s="1" t="s">
        <v>2</v>
      </c>
      <c r="D13" s="1" t="s">
        <v>52</v>
      </c>
      <c r="E13" s="1" t="s">
        <v>53</v>
      </c>
      <c r="F13" s="1" t="s">
        <v>54</v>
      </c>
      <c r="G13" s="1" t="s">
        <v>55</v>
      </c>
    </row>
    <row r="14">
      <c r="A14" s="1">
        <v>1.0</v>
      </c>
      <c r="B14" s="1" t="s">
        <v>23</v>
      </c>
      <c r="C14" s="1" t="s">
        <v>24</v>
      </c>
      <c r="D14" s="10">
        <f t="shared" ref="D14:D19" si="5">(E2 + 1.5*H2)/(F2 + I2)</f>
        <v>0.4913793103</v>
      </c>
      <c r="E14" s="10">
        <f t="shared" ref="E14:E19" si="6">S2/(F2 +I2 + 0.44*L2 + S2)</f>
        <v>0.2860411899</v>
      </c>
      <c r="F14" s="10">
        <f>O2/(O2+O3)</f>
        <v>0.4705882353</v>
      </c>
      <c r="G14" s="10">
        <f t="shared" ref="G14:G19" si="7">L2/(F2+I2)</f>
        <v>0.1724137931</v>
      </c>
    </row>
    <row r="15">
      <c r="A15" s="1">
        <v>1.0</v>
      </c>
      <c r="B15" s="1" t="s">
        <v>24</v>
      </c>
      <c r="C15" s="1" t="s">
        <v>23</v>
      </c>
      <c r="D15" s="10">
        <f t="shared" si="5"/>
        <v>0.28125</v>
      </c>
      <c r="E15" s="10">
        <f t="shared" si="6"/>
        <v>0.2069716776</v>
      </c>
      <c r="F15" s="10">
        <f>O3/(O3+O2)</f>
        <v>0.5294117647</v>
      </c>
      <c r="G15" s="10">
        <f t="shared" si="7"/>
        <v>0.3125</v>
      </c>
    </row>
    <row r="16">
      <c r="A16" s="1">
        <v>2.0</v>
      </c>
      <c r="B16" s="1" t="s">
        <v>23</v>
      </c>
      <c r="C16" s="1" t="s">
        <v>38</v>
      </c>
      <c r="D16" s="10">
        <f t="shared" si="5"/>
        <v>0.4833333333</v>
      </c>
      <c r="E16" s="10">
        <f t="shared" si="6"/>
        <v>0.2219626168</v>
      </c>
      <c r="F16" s="10">
        <f>O4/(O4+O5)</f>
        <v>0.6666666667</v>
      </c>
      <c r="G16" s="10">
        <f t="shared" si="7"/>
        <v>0.25</v>
      </c>
    </row>
    <row r="17">
      <c r="A17" s="1">
        <v>2.0</v>
      </c>
      <c r="B17" s="1" t="s">
        <v>38</v>
      </c>
      <c r="C17" s="1" t="s">
        <v>23</v>
      </c>
      <c r="D17" s="10">
        <f t="shared" si="5"/>
        <v>0.4553571429</v>
      </c>
      <c r="E17" s="10">
        <f t="shared" si="6"/>
        <v>0.1371571072</v>
      </c>
      <c r="F17" s="10">
        <f>O5/(O5+O4)</f>
        <v>0.3333333333</v>
      </c>
      <c r="G17" s="10">
        <f t="shared" si="7"/>
        <v>0.5357142857</v>
      </c>
    </row>
    <row r="18">
      <c r="A18" s="1">
        <v>3.0</v>
      </c>
      <c r="B18" s="1" t="s">
        <v>23</v>
      </c>
      <c r="C18" s="1" t="s">
        <v>45</v>
      </c>
      <c r="D18" s="10">
        <f t="shared" si="5"/>
        <v>0.4071428571</v>
      </c>
      <c r="E18" s="10">
        <f t="shared" si="6"/>
        <v>0.1645458534</v>
      </c>
      <c r="F18" s="10">
        <f>O6/(O6+O7)</f>
        <v>0.4333333333</v>
      </c>
      <c r="G18" s="10">
        <f t="shared" si="7"/>
        <v>0.2</v>
      </c>
    </row>
    <row r="19">
      <c r="A19" s="1">
        <v>3.0</v>
      </c>
      <c r="B19" s="1" t="s">
        <v>45</v>
      </c>
      <c r="C19" s="1" t="s">
        <v>23</v>
      </c>
      <c r="D19" s="10">
        <f t="shared" si="5"/>
        <v>0.2794117647</v>
      </c>
      <c r="E19" s="10">
        <f t="shared" si="6"/>
        <v>0.1873897707</v>
      </c>
      <c r="F19" s="10">
        <f>O7/(O7+O6)</f>
        <v>0.5666666667</v>
      </c>
      <c r="G19" s="10">
        <f t="shared" si="7"/>
        <v>0.1911764706</v>
      </c>
    </row>
    <row r="21">
      <c r="A21" s="1" t="s">
        <v>56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